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olicy_Simulator" sheetId="2" state="visible" r:id="rId4"/>
    <sheet name="Grade_Summary" sheetId="3" state="visible" r:id="rId5"/>
    <sheet name="Risk_Decil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<sst xmlns="http://schemas.openxmlformats.org/spreadsheetml/2006/main" count="65" uniqueCount="49">
  <si>
    <t xml:space="preserve">Loan Risk Policy Simulator</t>
  </si>
  <si>
    <t xml:space="preserve">PURPOSE: Test 'what if we only approved loans up to a certain risk level?' and see the effect on default rate and profit.</t>
  </si>
  <si>
    <t xml:space="preserve">HOW TO USE</t>
  </si>
  <si>
    <t xml:space="preserve">  1. Go to the 'Policy_Simulator' sheet.</t>
  </si>
  <si>
    <t xml:space="preserve">  2. Change the YELLOW cells (max grade approved, or number of risk deciles approved).</t>
  </si>
  <si>
    <t xml:space="preserve">  3. Read the results below each input - they update automatically.</t>
  </si>
  <si>
    <t xml:space="preserve">COLOUR LEGEND</t>
  </si>
  <si>
    <t xml:space="preserve">  Blue text   = data aggregated from the Python analysis (hard-coded inputs)</t>
  </si>
  <si>
    <t xml:space="preserve">  Black text  = Excel formulas (do not overwrite)</t>
  </si>
  <si>
    <t xml:space="preserve">  Yellow fill = cells YOU can change</t>
  </si>
  <si>
    <t xml:space="preserve">DATA SOURCE: 50,000 synthetic loans (see project README). Profit = total payments received - loan amount.</t>
  </si>
  <si>
    <t xml:space="preserve">Risk deciles come from the logistic-regression model (decile 1 = safest, 10 = riskiest).</t>
  </si>
  <si>
    <t xml:space="preserve">Example row: set Max grade = 'E' -&gt; grades F and G are declined; compare default rate and profit vs approving everyone.</t>
  </si>
  <si>
    <t xml:space="preserve">Policy Simulator - what if we tightened approvals?</t>
  </si>
  <si>
    <t xml:space="preserve">Change the yellow cells. Results recalculate automatically.</t>
  </si>
  <si>
    <t xml:space="preserve">SCENARIO 1: Approve only loans up to a maximum lender grade</t>
  </si>
  <si>
    <t xml:space="preserve">Max grade approved (A-G)</t>
  </si>
  <si>
    <t xml:space="preserve">G</t>
  </si>
  <si>
    <t xml:space="preserve">Grade index (helper)</t>
  </si>
  <si>
    <t xml:space="preserve">Loans approved</t>
  </si>
  <si>
    <t xml:space="preserve">% of applicants approved</t>
  </si>
  <si>
    <t xml:space="preserve">Defaults among approved</t>
  </si>
  <si>
    <t xml:space="preserve">Default rate (approved book)</t>
  </si>
  <si>
    <t xml:space="preserve">Default rate (approve everyone)</t>
  </si>
  <si>
    <t xml:space="preserve">Total profit (approved book)</t>
  </si>
  <si>
    <t xml:space="preserve">Total profit (approve everyone)</t>
  </si>
  <si>
    <t xml:space="preserve">PROFIT CHANGE vs approve-everyone</t>
  </si>
  <si>
    <t xml:space="preserve">SCENARIO 2: Approve only the safest N risk deciles (model score)</t>
  </si>
  <si>
    <t xml:space="preserve">Safest deciles approved (1-10)</t>
  </si>
  <si>
    <t xml:space="preserve">How to read it: try deciles = 9 (decline the riskiest 10%) vs 8 or 7. Profit usually rises first, then falls once you start rejecting good, interest-paying loans.</t>
  </si>
  <si>
    <t xml:space="preserve">Portfolio by lender grade</t>
  </si>
  <si>
    <t xml:space="preserve">Grade</t>
  </si>
  <si>
    <t xml:space="preserve">Grade Index</t>
  </si>
  <si>
    <t xml:space="preserve">Loans</t>
  </si>
  <si>
    <t xml:space="preserve">Loan Amount ($)</t>
  </si>
  <si>
    <t xml:space="preserve">Defaults</t>
  </si>
  <si>
    <t xml:space="preserve">Profit ($)</t>
  </si>
  <si>
    <t xml:space="preserve">Default Rate</t>
  </si>
  <si>
    <t xml:space="preserve">Profit per Loan ($)</t>
  </si>
  <si>
    <t xml:space="preserve">Share of Loans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</si>
  <si>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</si>
  <si>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</si>
  <si>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</si>
  <si>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</si>
  <si>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</si>
  <si>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</si>
  <si>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Total</t>
  </si>
  <si>
    <t xml:space="preserve">Portfolio by model risk decile</t>
  </si>
  <si>
    <t xml:space="preserve">Risk Decile (1=safest)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</si>
</sst>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$#,##0;&quot;($&quot;#,##0\);\-"/>
    <numFmt numFmtId="168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5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EA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FFF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grade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Grade_Summary!G4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Grade_Summary!$A$5:$A$11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Grade_Summary!$G$5:$G$11</c:f>
              <c:numCache>
                <c:formatCode>0.0%</c:formatCode>
                <c:ptCount val="7"/>
                <c:pt idx="0">
                  <c:v>0.060079901659496</c:v>
                </c:pt>
                <c:pt idx="1">
                  <c:v>0.0888051104827731</c:v>
                </c:pt>
                <c:pt idx="2">
                  <c:v>0.119811407968938</c:v>
                </c:pt>
                <c:pt idx="3">
                  <c:v>0.162105263157895</c:v>
                </c:pt>
                <c:pt idx="4">
                  <c:v>0.22384701912261</c:v>
                </c:pt>
                <c:pt idx="5">
                  <c:v>0.301153124161974</c:v>
                </c:pt>
                <c:pt idx="6">
                  <c:v>0.358296622613803</c:v>
                </c:pt>
              </c:numCache>
            </c:numRef>
          </c:val>
        </c:ser>
        <c:gapWidth val="150"/>
        <c:overlap val="0"/>
        <c:axId val="15173545"/>
        <c:axId val="44732257"/>
      </c:barChart>
      <c:catAx>
        <c:axId val="151735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32257"/>
        <c:crosses val="autoZero"/>
        <c:auto val="1"/>
        <c:lblAlgn val="ctr"/>
        <c:lblOffset val="100"/>
        <c:noMultiLvlLbl val="0"/>
      </c:catAx>
      <c:valAx>
        <c:axId val="447322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Default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735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per loan by risk decile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Risk_Deciles!G4</c:f>
              <c:strCache>
                <c:ptCount val="1"/>
                <c:pt idx="0">
                  <c:v>Profit per Loan ($)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Risk_Deciles!$A$5:$A$14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Risk_Deciles!$G$5:$G$14</c:f>
              <c:numCache>
                <c:formatCode>\$#,##0;"($"#,##0\);\-</c:formatCode>
                <c:ptCount val="10"/>
                <c:pt idx="0">
                  <c:v>1699.63962</c:v>
                </c:pt>
                <c:pt idx="1">
                  <c:v>1849.215024</c:v>
                </c:pt>
                <c:pt idx="2">
                  <c:v>1994.561682</c:v>
                </c:pt>
                <c:pt idx="3">
                  <c:v>2082.729054</c:v>
                </c:pt>
                <c:pt idx="4">
                  <c:v>2214.247462</c:v>
                </c:pt>
                <c:pt idx="5">
                  <c:v>2301.78624</c:v>
                </c:pt>
                <c:pt idx="6">
                  <c:v>2060.661626</c:v>
                </c:pt>
                <c:pt idx="7">
                  <c:v>1947.701712</c:v>
                </c:pt>
                <c:pt idx="8">
                  <c:v>1516.107344</c:v>
                </c:pt>
                <c:pt idx="9">
                  <c:v>-245.286816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385103"/>
        <c:axId val="6267038"/>
      </c:lineChart>
      <c:catAx>
        <c:axId val="96385103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7038"/>
        <c:crosses val="autoZero"/>
        <c:auto val="1"/>
        <c:lblAlgn val="ctr"/>
        <c:lblOffset val="100"/>
        <c:noMultiLvlLbl val="0"/>
      </c:catAx>
      <c:valAx>
        <c:axId val="62670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851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175680</xdr:rowOff>
    </xdr:from>
    <xdr:to>
      <xdr:col>5</xdr:col>
      <xdr:colOff>528480</xdr:colOff>
      <xdr:row>28</xdr:row>
      <xdr:rowOff>18000</xdr:rowOff>
    </xdr:to>
    <xdr:graphicFrame>
      <xdr:nvGraphicFramePr>
        <xdr:cNvPr id="0" name="Chart 1"/>
        <xdr:cNvGraphicFramePr/>
      </xdr:nvGraphicFramePr>
      <xdr:xfrm>
        <a:off x="0" y="287640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176040</xdr:rowOff>
    </xdr:from>
    <xdr:to>
      <xdr:col>4</xdr:col>
      <xdr:colOff>528480</xdr:colOff>
      <xdr:row>31</xdr:row>
      <xdr:rowOff>18000</xdr:rowOff>
    </xdr:to>
    <xdr:graphicFrame>
      <xdr:nvGraphicFramePr>
        <xdr:cNvPr id="1" name="Chart 1"/>
        <xdr:cNvGraphicFramePr/>
      </xdr:nvGraphicFramePr>
      <xdr:xfrm>
        <a:off x="0" y="34480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2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</cols>
  <sheetData>
    <row r="1" customFormat="false" ht="18.55" hidden="false" customHeight="false" outlineLevel="0" collapsed="false">
      <c r="A1" s="4" t="s">
        <v>13</v>
      </c>
    </row>
    <row r="2" customFormat="false" ht="15" hidden="false" customHeight="false" outlineLevel="0" collapsed="false">
      <c r="A2" s="5" t="s">
        <v>14</v>
      </c>
    </row>
    <row r="4" customFormat="false" ht="15" hidden="false" customHeight="false" outlineLevel="0" collapsed="false">
      <c r="A4" s="6" t="s">
        <v>15</v>
      </c>
    </row>
    <row r="5" customFormat="false" ht="15" hidden="false" customHeight="false" outlineLevel="0" collapsed="false">
      <c r="A5" s="7" t="s">
        <v>16</v>
      </c>
      <c r="B5" s="8" t="s">
        <v>17</v>
      </c>
    </row>
    <row r="6" customFormat="false" ht="15" hidden="false" customHeight="false" outlineLevel="0" collapsed="false">
      <c r="A6" s="9" t="s">
        <v>18</v>
      </c>
      <c r="B6" s="10" t="n">
        <f aca="false">MATCH(B5,Grade_Summary!$A$5:$A$11,0)-1</f>
        <v>6</v>
      </c>
    </row>
    <row r="8" customFormat="false" ht="15" hidden="false" customHeight="false" outlineLevel="0" collapsed="false">
      <c r="A8" s="9" t="s">
        <v>19</v>
      </c>
      <c r="B8" s="10" t="n">
        <f aca="false">SUMIFS(Grade_Summary!$C$5:$C$11,Grade_Summary!$B$5:$B$11,"&lt;="&amp;B6)</f>
        <v>50000</v>
      </c>
    </row>
    <row r="9" customFormat="false" ht="15" hidden="false" customHeight="false" outlineLevel="0" collapsed="false">
      <c r="A9" s="9" t="s">
        <v>20</v>
      </c>
      <c r="B9" s="11" t="n">
        <f aca="false">B8/Grade_Summary!$C$12</f>
        <v>1</v>
      </c>
    </row>
    <row r="10" customFormat="false" ht="15" hidden="false" customHeight="false" outlineLevel="0" collapsed="false">
      <c r="A10" s="9" t="s">
        <v>21</v>
      </c>
      <c r="B10" s="10" t="n">
        <f aca="false">SUMIFS(Grade_Summary!$E$5:$E$11,Grade_Summary!$B$5:$B$11,"&lt;="&amp;B6)</f>
        <v>7721</v>
      </c>
    </row>
    <row r="11" customFormat="false" ht="15" hidden="false" customHeight="false" outlineLevel="0" collapsed="false">
      <c r="A11" s="9" t="s">
        <v>22</v>
      </c>
      <c r="B11" s="11" t="n">
        <f aca="false">IFERROR(B10/B8,0)</f>
        <v>0.15442</v>
      </c>
    </row>
    <row r="12" customFormat="false" ht="15" hidden="false" customHeight="false" outlineLevel="0" collapsed="false">
      <c r="A12" s="9" t="s">
        <v>23</v>
      </c>
      <c r="B12" s="11" t="n">
        <f aca="false">Grade_Summary!$G$12</f>
        <v>0.15442</v>
      </c>
    </row>
    <row r="13" customFormat="false" ht="15" hidden="false" customHeight="false" outlineLevel="0" collapsed="false">
      <c r="A13" s="9" t="s">
        <v>24</v>
      </c>
      <c r="B13" s="12" t="n">
        <f aca="false">SUMIFS(Grade_Summary!$F$5:$F$11,Grade_Summary!$B$5:$B$11,"&lt;="&amp;B6)</f>
        <v>87106814.74</v>
      </c>
    </row>
    <row r="14" customFormat="false" ht="15" hidden="false" customHeight="false" outlineLevel="0" collapsed="false">
      <c r="A14" s="9" t="s">
        <v>25</v>
      </c>
      <c r="B14" s="12" t="n">
        <f aca="false">Grade_Summary!$F$12</f>
        <v>87106814.74</v>
      </c>
    </row>
    <row r="15" customFormat="false" ht="15" hidden="false" customHeight="false" outlineLevel="0" collapsed="false">
      <c r="A15" s="7" t="s">
        <v>26</v>
      </c>
      <c r="B15" s="13" t="n">
        <f aca="false">B13-B14</f>
        <v>0</v>
      </c>
    </row>
    <row r="18" customFormat="false" ht="15" hidden="false" customHeight="false" outlineLevel="0" collapsed="false">
      <c r="A18" s="6" t="s">
        <v>27</v>
      </c>
    </row>
    <row r="19" customFormat="false" ht="15" hidden="false" customHeight="false" outlineLevel="0" collapsed="false">
      <c r="A19" s="7" t="s">
        <v>28</v>
      </c>
      <c r="B19" s="8" t="n">
        <v>9</v>
      </c>
    </row>
    <row r="20" customFormat="false" ht="15" hidden="false" customHeight="false" outlineLevel="0" collapsed="false">
      <c r="A20" s="9" t="s">
        <v>19</v>
      </c>
      <c r="B20" s="10" t="n">
        <f aca="false">SUMIFS(Risk_Deciles!$B$5:$B$14,Risk_Deciles!$A$5:$A$14,"&lt;="&amp;B19)</f>
        <v>45000</v>
      </c>
    </row>
    <row r="21" customFormat="false" ht="15" hidden="false" customHeight="false" outlineLevel="0" collapsed="false">
      <c r="A21" s="9" t="s">
        <v>20</v>
      </c>
      <c r="B21" s="11" t="n">
        <f aca="false">B20/Risk_Deciles!$B$15</f>
        <v>0.9</v>
      </c>
    </row>
    <row r="22" customFormat="false" ht="15" hidden="false" customHeight="false" outlineLevel="0" collapsed="false">
      <c r="A22" s="9" t="s">
        <v>21</v>
      </c>
      <c r="B22" s="10" t="n">
        <f aca="false">SUMIFS(Risk_Deciles!$D$5:$D$14,Risk_Deciles!$A$5:$A$14,"&lt;="&amp;B19)</f>
        <v>5730</v>
      </c>
    </row>
    <row r="23" customFormat="false" ht="15" hidden="false" customHeight="false" outlineLevel="0" collapsed="false">
      <c r="A23" s="9" t="s">
        <v>22</v>
      </c>
      <c r="B23" s="11" t="n">
        <f aca="false">IFERROR(B22/B20,0)</f>
        <v>0.127333333333333</v>
      </c>
    </row>
    <row r="24" customFormat="false" ht="15" hidden="false" customHeight="false" outlineLevel="0" collapsed="false">
      <c r="A24" s="9" t="s">
        <v>23</v>
      </c>
      <c r="B24" s="11" t="n">
        <f aca="false">Risk_Deciles!$F$15</f>
        <v>0.15442</v>
      </c>
    </row>
    <row r="25" customFormat="false" ht="15" hidden="false" customHeight="false" outlineLevel="0" collapsed="false">
      <c r="A25" s="9" t="s">
        <v>24</v>
      </c>
      <c r="B25" s="12" t="n">
        <f aca="false">SUMIFS(Risk_Deciles!$E$5:$E$14,Risk_Deciles!$A$5:$A$14,"&lt;="&amp;B19)</f>
        <v>88333248.82</v>
      </c>
    </row>
    <row r="26" customFormat="false" ht="15" hidden="false" customHeight="false" outlineLevel="0" collapsed="false">
      <c r="A26" s="9" t="s">
        <v>25</v>
      </c>
      <c r="B26" s="12" t="n">
        <f aca="false">Risk_Deciles!$E$15</f>
        <v>87106814.74</v>
      </c>
    </row>
    <row r="27" customFormat="false" ht="15" hidden="false" customHeight="false" outlineLevel="0" collapsed="false">
      <c r="A27" s="7" t="s">
        <v>26</v>
      </c>
      <c r="B27" s="13" t="n">
        <f aca="false">B25-B26</f>
        <v>1226434.08</v>
      </c>
    </row>
    <row r="30" customFormat="false" ht="15" hidden="false" customHeight="true" outlineLevel="0" collapsed="false">
      <c r="A30" s="14" t="s">
        <v>29</v>
      </c>
      <c r="B30" s="14"/>
      <c r="C30" s="14"/>
      <c r="D30" s="14"/>
    </row>
    <row r="31" customFormat="false" ht="15" hidden="false" customHeight="false" outlineLevel="0" collapsed="false">
      <c r="A31" s="14"/>
      <c r="B31" s="14"/>
      <c r="C31" s="14"/>
      <c r="D31" s="14"/>
    </row>
    <row r="32" customFormat="false" ht="15" hidden="false" customHeight="false" outlineLevel="0" collapsed="false">
      <c r="A32" s="14"/>
      <c r="B32" s="14"/>
      <c r="C32" s="14"/>
      <c r="D32" s="14"/>
    </row>
  </sheetData>
  <mergeCells count="1">
    <mergeCell ref="A30:D32"/>
  </mergeCells>
  <dataValidations count="2">
    <dataValidation allowBlank="false" errorStyle="stop" operator="between" showDropDown="false" showErrorMessage="false" showInputMessage="false" sqref="B5" type="list">
      <formula1>"A,B,C,D,E,F,G"</formula1>
      <formula2>0</formula2>
    </dataValidation>
    <dataValidation allowBlank="false" errorStyle="stop" operator="between" showDropDown="false" showErrorMessage="false" showInputMessage="false" sqref="B19" type="whole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15" t="s">
        <v>30</v>
      </c>
    </row>
    <row r="4" customFormat="false" ht="31.5" hidden="false" customHeight="true" outlineLevel="0" collapsed="false">
      <c r="A4" s="16" t="s">
        <v>31</v>
      </c>
      <c r="B4" s="16" t="s">
        <v>32</v>
      </c>
      <c r="C4" s="16" t="s">
        <v>33</v>
      </c>
      <c r="D4" s="16" t="s">
        <v>34</v>
      </c>
      <c r="E4" s="16" t="s">
        <v>35</v>
      </c>
      <c r="F4" s="16" t="s">
        <v>36</v>
      </c>
      <c r="G4" s="16" t="s">
        <v>37</v>
      </c>
      <c r="H4" s="16" t="s">
        <v>38</v>
      </c>
      <c r="I4" s="16" t="s">
        <v>39</v>
      </c>
    </row>
    <row r="5" customFormat="false" ht="15" hidden="false" customHeight="false" outlineLevel="0" collapsed="false">
      <c r="A5" s="7" t="s">
        <v>40</v>
      </c>
      <c r="B5" s="17" t="n">
        <v>0</v>
      </c>
      <c r="C5" s="17" t="n">
        <v>6508</v>
      </c>
      <c r="D5" s="18" t="n">
        <v>109896475</v>
      </c>
      <c r="E5" s="17" t="n">
        <v>391</v>
      </c>
      <c r="F5" s="18" t="n">
        <v>8937510.85</v>
      </c>
      <c r="G5" s="11" t="n">
        <f aca="false">IFERROR(E5/C5,0)</f>
        <v>0.060079901659496</v>
      </c>
      <c r="H5" s="12" t="n">
        <f aca="false">IFERROR(F5/C5,0)</f>
        <v>1373.31143976644</v>
      </c>
      <c r="I5" s="11" t="n">
        <f aca="false">C5/$C$12</f>
        <v>0.13016</v>
      </c>
    </row>
    <row r="6" customFormat="false" ht="15" hidden="false" customHeight="false" outlineLevel="0" collapsed="false">
      <c r="A6" s="7" t="s">
        <v>41</v>
      </c>
      <c r="B6" s="17" t="n">
        <v>1</v>
      </c>
      <c r="C6" s="17" t="n">
        <v>9549</v>
      </c>
      <c r="D6" s="18" t="n">
        <v>161151325</v>
      </c>
      <c r="E6" s="17" t="n">
        <v>848</v>
      </c>
      <c r="F6" s="18" t="n">
        <v>17138624.18</v>
      </c>
      <c r="G6" s="11" t="n">
        <f aca="false">IFERROR(E6/C6,0)</f>
        <v>0.0888051104827731</v>
      </c>
      <c r="H6" s="12" t="n">
        <f aca="false">IFERROR(F6/C6,0)</f>
        <v>1794.80827102314</v>
      </c>
      <c r="I6" s="11" t="n">
        <f aca="false">C6/$C$12</f>
        <v>0.19098</v>
      </c>
    </row>
    <row r="7" customFormat="false" ht="15" hidden="false" customHeight="false" outlineLevel="0" collapsed="false">
      <c r="A7" s="7" t="s">
        <v>42</v>
      </c>
      <c r="B7" s="17" t="n">
        <v>2</v>
      </c>
      <c r="C7" s="17" t="n">
        <v>10817</v>
      </c>
      <c r="D7" s="18" t="n">
        <v>181461175</v>
      </c>
      <c r="E7" s="17" t="n">
        <v>1296</v>
      </c>
      <c r="F7" s="18" t="n">
        <v>22069894.94</v>
      </c>
      <c r="G7" s="11" t="n">
        <f aca="false">IFERROR(E7/C7,0)</f>
        <v>0.119811407968938</v>
      </c>
      <c r="H7" s="12" t="n">
        <f aca="false">IFERROR(F7/C7,0)</f>
        <v>2040.29721179625</v>
      </c>
      <c r="I7" s="11" t="n">
        <f aca="false">C7/$C$12</f>
        <v>0.21634</v>
      </c>
    </row>
    <row r="8" customFormat="false" ht="15" hidden="false" customHeight="false" outlineLevel="0" collapsed="false">
      <c r="A8" s="7" t="s">
        <v>43</v>
      </c>
      <c r="B8" s="17" t="n">
        <v>3</v>
      </c>
      <c r="C8" s="17" t="n">
        <v>10450</v>
      </c>
      <c r="D8" s="18" t="n">
        <v>174215425</v>
      </c>
      <c r="E8" s="17" t="n">
        <v>1694</v>
      </c>
      <c r="F8" s="18" t="n">
        <v>22658219.95</v>
      </c>
      <c r="G8" s="11" t="n">
        <f aca="false">IFERROR(E8/C8,0)</f>
        <v>0.162105263157895</v>
      </c>
      <c r="H8" s="12" t="n">
        <f aca="false">IFERROR(F8/C8,0)</f>
        <v>2168.25071291866</v>
      </c>
      <c r="I8" s="11" t="n">
        <f aca="false">C8/$C$12</f>
        <v>0.209</v>
      </c>
    </row>
    <row r="9" customFormat="false" ht="15" hidden="false" customHeight="false" outlineLevel="0" collapsed="false">
      <c r="A9" s="7" t="s">
        <v>44</v>
      </c>
      <c r="B9" s="17" t="n">
        <v>4</v>
      </c>
      <c r="C9" s="17" t="n">
        <v>6223</v>
      </c>
      <c r="D9" s="18" t="n">
        <v>103638425</v>
      </c>
      <c r="E9" s="17" t="n">
        <v>1393</v>
      </c>
      <c r="F9" s="18" t="n">
        <v>11145776.06</v>
      </c>
      <c r="G9" s="11" t="n">
        <f aca="false">IFERROR(E9/C9,0)</f>
        <v>0.22384701912261</v>
      </c>
      <c r="H9" s="12" t="n">
        <f aca="false">IFERROR(F9/C9,0)</f>
        <v>1791.06155551985</v>
      </c>
      <c r="I9" s="11" t="n">
        <f aca="false">C9/$C$12</f>
        <v>0.12446</v>
      </c>
    </row>
    <row r="10" customFormat="false" ht="15" hidden="false" customHeight="false" outlineLevel="0" collapsed="false">
      <c r="A10" s="7" t="s">
        <v>45</v>
      </c>
      <c r="B10" s="17" t="n">
        <v>5</v>
      </c>
      <c r="C10" s="17" t="n">
        <v>3729</v>
      </c>
      <c r="D10" s="18" t="n">
        <v>62645900</v>
      </c>
      <c r="E10" s="17" t="n">
        <v>1123</v>
      </c>
      <c r="F10" s="18" t="n">
        <v>3752896.2</v>
      </c>
      <c r="G10" s="11" t="n">
        <f aca="false">IFERROR(E10/C10,0)</f>
        <v>0.301153124161974</v>
      </c>
      <c r="H10" s="12" t="n">
        <f aca="false">IFERROR(F10/C10,0)</f>
        <v>1006.40820595334</v>
      </c>
      <c r="I10" s="11" t="n">
        <f aca="false">C10/$C$12</f>
        <v>0.07458</v>
      </c>
    </row>
    <row r="11" customFormat="false" ht="15" hidden="false" customHeight="false" outlineLevel="0" collapsed="false">
      <c r="A11" s="7" t="s">
        <v>17</v>
      </c>
      <c r="B11" s="17" t="n">
        <v>6</v>
      </c>
      <c r="C11" s="17" t="n">
        <v>2724</v>
      </c>
      <c r="D11" s="18" t="n">
        <v>45663825</v>
      </c>
      <c r="E11" s="17" t="n">
        <v>976</v>
      </c>
      <c r="F11" s="18" t="n">
        <v>1403892.56</v>
      </c>
      <c r="G11" s="11" t="n">
        <f aca="false">IFERROR(E11/C11,0)</f>
        <v>0.358296622613803</v>
      </c>
      <c r="H11" s="12" t="n">
        <f aca="false">IFERROR(F11/C11,0)</f>
        <v>515.37906020558</v>
      </c>
      <c r="I11" s="11" t="n">
        <f aca="false">C11/$C$12</f>
        <v>0.05448</v>
      </c>
    </row>
    <row r="12" customFormat="false" ht="15" hidden="false" customHeight="false" outlineLevel="0" collapsed="false">
      <c r="A12" s="19" t="s">
        <v>46</v>
      </c>
      <c r="B12" s="20"/>
      <c r="C12" s="21" t="n">
        <f aca="false">SUM(C5:C11)</f>
        <v>50000</v>
      </c>
      <c r="D12" s="22" t="n">
        <f aca="false">SUM(D5:D11)</f>
        <v>838672550</v>
      </c>
      <c r="E12" s="21" t="n">
        <f aca="false">SUM(E5:E11)</f>
        <v>7721</v>
      </c>
      <c r="F12" s="22" t="n">
        <f aca="false">SUM(F5:F11)</f>
        <v>87106814.74</v>
      </c>
      <c r="G12" s="23" t="n">
        <f aca="false">IFERROR(E12/C12,0)</f>
        <v>0.15442</v>
      </c>
      <c r="H12" s="22" t="n">
        <f aca="false">IFERROR(F12/C12,0)</f>
        <v>1742.1362948</v>
      </c>
      <c r="I12" s="23" t="n">
        <f aca="false">SUM(I5:I11)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16.15" hidden="false" customHeight="false" outlineLevel="0" collapsed="false">
      <c r="A1" s="15" t="s">
        <v>47</v>
      </c>
    </row>
    <row r="4" customFormat="false" ht="31.5" hidden="false" customHeight="true" outlineLevel="0" collapsed="false">
      <c r="A4" s="16" t="s">
        <v>48</v>
      </c>
      <c r="B4" s="16" t="s">
        <v>33</v>
      </c>
      <c r="C4" s="16" t="s">
        <v>34</v>
      </c>
      <c r="D4" s="16" t="s">
        <v>35</v>
      </c>
      <c r="E4" s="16" t="s">
        <v>36</v>
      </c>
      <c r="F4" s="16" t="s">
        <v>37</v>
      </c>
      <c r="G4" s="16" t="s">
        <v>38</v>
      </c>
    </row>
    <row r="5" customFormat="false" ht="15" hidden="false" customHeight="false" outlineLevel="0" collapsed="false">
      <c r="A5" s="24" t="n">
        <v>1</v>
      </c>
      <c r="B5" s="17" t="n">
        <v>5000</v>
      </c>
      <c r="C5" s="18" t="n">
        <v>71805175</v>
      </c>
      <c r="D5" s="17" t="n">
        <v>175</v>
      </c>
      <c r="E5" s="18" t="n">
        <v>8498198.1</v>
      </c>
      <c r="F5" s="11" t="n">
        <f aca="false">IFERROR(D5/B5,0)</f>
        <v>0.035</v>
      </c>
      <c r="G5" s="12" t="n">
        <f aca="false">IFERROR(E5/B5,0)</f>
        <v>1699.63962</v>
      </c>
    </row>
    <row r="6" customFormat="false" ht="15" hidden="false" customHeight="false" outlineLevel="0" collapsed="false">
      <c r="A6" s="24" t="n">
        <v>2</v>
      </c>
      <c r="B6" s="17" t="n">
        <v>5000</v>
      </c>
      <c r="C6" s="18" t="n">
        <v>74555150</v>
      </c>
      <c r="D6" s="17" t="n">
        <v>287</v>
      </c>
      <c r="E6" s="18" t="n">
        <v>9246075.12</v>
      </c>
      <c r="F6" s="11" t="n">
        <f aca="false">IFERROR(D6/B6,0)</f>
        <v>0.0574</v>
      </c>
      <c r="G6" s="12" t="n">
        <f aca="false">IFERROR(E6/B6,0)</f>
        <v>1849.215024</v>
      </c>
    </row>
    <row r="7" customFormat="false" ht="15" hidden="false" customHeight="false" outlineLevel="0" collapsed="false">
      <c r="A7" s="24" t="n">
        <v>3</v>
      </c>
      <c r="B7" s="17" t="n">
        <v>5000</v>
      </c>
      <c r="C7" s="18" t="n">
        <v>78390850</v>
      </c>
      <c r="D7" s="17" t="n">
        <v>366</v>
      </c>
      <c r="E7" s="18" t="n">
        <v>9972808.41</v>
      </c>
      <c r="F7" s="11" t="n">
        <f aca="false">IFERROR(D7/B7,0)</f>
        <v>0.0732</v>
      </c>
      <c r="G7" s="12" t="n">
        <f aca="false">IFERROR(E7/B7,0)</f>
        <v>1994.561682</v>
      </c>
    </row>
    <row r="8" customFormat="false" ht="15" hidden="false" customHeight="false" outlineLevel="0" collapsed="false">
      <c r="A8" s="24" t="n">
        <v>4</v>
      </c>
      <c r="B8" s="17" t="n">
        <v>5000</v>
      </c>
      <c r="C8" s="18" t="n">
        <v>80738600</v>
      </c>
      <c r="D8" s="17" t="n">
        <v>478</v>
      </c>
      <c r="E8" s="18" t="n">
        <v>10413645.27</v>
      </c>
      <c r="F8" s="11" t="n">
        <f aca="false">IFERROR(D8/B8,0)</f>
        <v>0.0956</v>
      </c>
      <c r="G8" s="12" t="n">
        <f aca="false">IFERROR(E8/B8,0)</f>
        <v>2082.729054</v>
      </c>
    </row>
    <row r="9" customFormat="false" ht="15" hidden="false" customHeight="false" outlineLevel="0" collapsed="false">
      <c r="A9" s="24" t="n">
        <v>5</v>
      </c>
      <c r="B9" s="17" t="n">
        <v>5000</v>
      </c>
      <c r="C9" s="18" t="n">
        <v>82141050</v>
      </c>
      <c r="D9" s="17" t="n">
        <v>574</v>
      </c>
      <c r="E9" s="18" t="n">
        <v>11071237.31</v>
      </c>
      <c r="F9" s="11" t="n">
        <f aca="false">IFERROR(D9/B9,0)</f>
        <v>0.1148</v>
      </c>
      <c r="G9" s="12" t="n">
        <f aca="false">IFERROR(E9/B9,0)</f>
        <v>2214.247462</v>
      </c>
    </row>
    <row r="10" customFormat="false" ht="15" hidden="false" customHeight="false" outlineLevel="0" collapsed="false">
      <c r="A10" s="24" t="n">
        <v>6</v>
      </c>
      <c r="B10" s="17" t="n">
        <v>5000</v>
      </c>
      <c r="C10" s="18" t="n">
        <v>84286925</v>
      </c>
      <c r="D10" s="17" t="n">
        <v>658</v>
      </c>
      <c r="E10" s="18" t="n">
        <v>11508931.2</v>
      </c>
      <c r="F10" s="11" t="n">
        <f aca="false">IFERROR(D10/B10,0)</f>
        <v>0.1316</v>
      </c>
      <c r="G10" s="12" t="n">
        <f aca="false">IFERROR(E10/B10,0)</f>
        <v>2301.78624</v>
      </c>
    </row>
    <row r="11" customFormat="false" ht="15" hidden="false" customHeight="false" outlineLevel="0" collapsed="false">
      <c r="A11" s="24" t="n">
        <v>7</v>
      </c>
      <c r="B11" s="17" t="n">
        <v>5000</v>
      </c>
      <c r="C11" s="18" t="n">
        <v>86869900</v>
      </c>
      <c r="D11" s="17" t="n">
        <v>839</v>
      </c>
      <c r="E11" s="18" t="n">
        <v>10303308.13</v>
      </c>
      <c r="F11" s="11" t="n">
        <f aca="false">IFERROR(D11/B11,0)</f>
        <v>0.1678</v>
      </c>
      <c r="G11" s="12" t="n">
        <f aca="false">IFERROR(E11/B11,0)</f>
        <v>2060.661626</v>
      </c>
    </row>
    <row r="12" customFormat="false" ht="15" hidden="false" customHeight="false" outlineLevel="0" collapsed="false">
      <c r="A12" s="24" t="n">
        <v>8</v>
      </c>
      <c r="B12" s="17" t="n">
        <v>5000</v>
      </c>
      <c r="C12" s="18" t="n">
        <v>88668200</v>
      </c>
      <c r="D12" s="17" t="n">
        <v>1034</v>
      </c>
      <c r="E12" s="18" t="n">
        <v>9738508.56</v>
      </c>
      <c r="F12" s="11" t="n">
        <f aca="false">IFERROR(D12/B12,0)</f>
        <v>0.2068</v>
      </c>
      <c r="G12" s="12" t="n">
        <f aca="false">IFERROR(E12/B12,0)</f>
        <v>1947.701712</v>
      </c>
    </row>
    <row r="13" customFormat="false" ht="15" hidden="false" customHeight="false" outlineLevel="0" collapsed="false">
      <c r="A13" s="24" t="n">
        <v>9</v>
      </c>
      <c r="B13" s="17" t="n">
        <v>5000</v>
      </c>
      <c r="C13" s="18" t="n">
        <v>91824225</v>
      </c>
      <c r="D13" s="17" t="n">
        <v>1319</v>
      </c>
      <c r="E13" s="18" t="n">
        <v>7580536.72</v>
      </c>
      <c r="F13" s="11" t="n">
        <f aca="false">IFERROR(D13/B13,0)</f>
        <v>0.2638</v>
      </c>
      <c r="G13" s="12" t="n">
        <f aca="false">IFERROR(E13/B13,0)</f>
        <v>1516.107344</v>
      </c>
    </row>
    <row r="14" customFormat="false" ht="15" hidden="false" customHeight="false" outlineLevel="0" collapsed="false">
      <c r="A14" s="24" t="n">
        <v>10</v>
      </c>
      <c r="B14" s="17" t="n">
        <v>5000</v>
      </c>
      <c r="C14" s="18" t="n">
        <v>99392475</v>
      </c>
      <c r="D14" s="17" t="n">
        <v>1991</v>
      </c>
      <c r="E14" s="18" t="n">
        <v>-1226434.08</v>
      </c>
      <c r="F14" s="11" t="n">
        <f aca="false">IFERROR(D14/B14,0)</f>
        <v>0.3982</v>
      </c>
      <c r="G14" s="12" t="n">
        <f aca="false">IFERROR(E14/B14,0)</f>
        <v>-245.286816</v>
      </c>
    </row>
    <row r="15" customFormat="false" ht="15" hidden="false" customHeight="false" outlineLevel="0" collapsed="false">
      <c r="A15" s="19" t="s">
        <v>46</v>
      </c>
      <c r="B15" s="21" t="n">
        <f aca="false">SUM(B5:B14)</f>
        <v>50000</v>
      </c>
      <c r="C15" s="22" t="n">
        <f aca="false">SUM(C5:C14)</f>
        <v>838672550</v>
      </c>
      <c r="D15" s="21" t="n">
        <f aca="false">SUM(D5:D14)</f>
        <v>7721</v>
      </c>
      <c r="E15" s="22" t="n">
        <f aca="false">SUM(E5:E14)</f>
        <v>87106814.74</v>
      </c>
      <c r="F15" s="23" t="n">
        <f aca="false">IFERROR(D15/B15,0)</f>
        <v>0.15442</v>
      </c>
      <c r="G15" s="22" t="n">
        <f aca="false">IFERROR(E15/B15,0)</f>
        <v>1742.1362948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2026-10-07T16:07:38Z</dcterms:created>
  <dc:creator>openpyxl</dc:creator>
  <dc:description/>
  <dc:language>en-US</dc:language>
  <cp:lastModifiedBy/>
  <dcterms:modified xsi:type="dcterms:W3CDTF">2026-10-07T16:08:19Z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